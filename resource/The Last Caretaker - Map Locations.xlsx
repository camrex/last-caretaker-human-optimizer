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Projects\last-caretaker-human-optimizer\resource\"/>
    </mc:Choice>
  </mc:AlternateContent>
  <xr:revisionPtr revIDLastSave="0" documentId="13_ncr:1_{4FCB286C-EF41-4F00-BC96-9543C81C2A1E}" xr6:coauthVersionLast="47" xr6:coauthVersionMax="47" xr10:uidLastSave="{00000000-0000-0000-0000-000000000000}"/>
  <bookViews>
    <workbookView xWindow="62928" yWindow="228" windowWidth="17076" windowHeight="24432" activeTab="1" xr2:uid="{125FDD01-8934-44ED-9338-C47AA03E9681}"/>
  </bookViews>
  <sheets>
    <sheet name="LOCATIONS" sheetId="1" r:id="rId1"/>
    <sheet name="CONNE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9" i="2" l="1"/>
  <c r="A4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</calcChain>
</file>

<file path=xl/sharedStrings.xml><?xml version="1.0" encoding="utf-8"?>
<sst xmlns="http://schemas.openxmlformats.org/spreadsheetml/2006/main" count="365" uniqueCount="110">
  <si>
    <t>X</t>
  </si>
  <si>
    <t>Y</t>
  </si>
  <si>
    <t>NDNS NODE 70,-82</t>
  </si>
  <si>
    <t>NORTH LANTERN</t>
  </si>
  <si>
    <t>NAME</t>
  </si>
  <si>
    <t>HABITAT NODE 01-2.5</t>
  </si>
  <si>
    <t>TYPE</t>
  </si>
  <si>
    <t>CAVE</t>
  </si>
  <si>
    <t>NDNS NODE</t>
  </si>
  <si>
    <t>HABITAT NODE</t>
  </si>
  <si>
    <t>RUIN</t>
  </si>
  <si>
    <t>BLACK VEIN STATION</t>
  </si>
  <si>
    <t>OIL RIG</t>
  </si>
  <si>
    <t>SEED VAULT</t>
  </si>
  <si>
    <t>SEED VAULT PROMETHEUS</t>
  </si>
  <si>
    <t>EMPTY</t>
  </si>
  <si>
    <t>NOTE</t>
  </si>
  <si>
    <t>HELIOS RESERVE DRACO</t>
  </si>
  <si>
    <t>HELIOS RESERVE</t>
  </si>
  <si>
    <t>NAVIGATION BEACON 15</t>
  </si>
  <si>
    <t>NAVIGATION BEACON</t>
  </si>
  <si>
    <t>HABITAT NODE 05-14.5</t>
  </si>
  <si>
    <t>HABITAT NODE 02-23</t>
  </si>
  <si>
    <t>REFUEL OUTPOST THETA</t>
  </si>
  <si>
    <t>REFUEL OUTPOST</t>
  </si>
  <si>
    <t>NDNS NODE 70,-42</t>
  </si>
  <si>
    <t>NORFOLK GRAVE</t>
  </si>
  <si>
    <t>[UNKNOWN]</t>
  </si>
  <si>
    <t>NOT FULLY EXPLORED</t>
  </si>
  <si>
    <t>NOMADS TOWER</t>
  </si>
  <si>
    <t>TOWER</t>
  </si>
  <si>
    <t>HELIOS RESERVE GEMINI</t>
  </si>
  <si>
    <t>HABITAT NODE 10-4</t>
  </si>
  <si>
    <t>NDNS NODE 70,-17</t>
  </si>
  <si>
    <t>HABITAT NODE 04-7</t>
  </si>
  <si>
    <t>SEED RESERVE 12</t>
  </si>
  <si>
    <t>LAZARUS STATION</t>
  </si>
  <si>
    <t>STATION</t>
  </si>
  <si>
    <t>MAIN LOCATION</t>
  </si>
  <si>
    <t>NDNS NODE 55,-2</t>
  </si>
  <si>
    <t>REFUEL OUTPOST GAMMA</t>
  </si>
  <si>
    <t>NDNS NODE 30,-2</t>
  </si>
  <si>
    <t>SANCTUARY DOCK 37</t>
  </si>
  <si>
    <t>DOCK</t>
  </si>
  <si>
    <t>START LOCATION</t>
  </si>
  <si>
    <t>HABITAT NODE 06-3.5</t>
  </si>
  <si>
    <t>NAVIGATION BEACON 49</t>
  </si>
  <si>
    <t>HELIOS RESERVE ORION</t>
  </si>
  <si>
    <t>SEED RESERVE 01</t>
  </si>
  <si>
    <t>NDNS NODE 70,14</t>
  </si>
  <si>
    <t>NDNS NODE 84,-2</t>
  </si>
  <si>
    <t>NDNS NODE 110,-2</t>
  </si>
  <si>
    <t>NDNS NODE 150,-2</t>
  </si>
  <si>
    <t>CENTRAL WAREHOUSE ALPHA</t>
  </si>
  <si>
    <t>WAREHOUSE</t>
  </si>
  <si>
    <t>NDNS NODE 70,38</t>
  </si>
  <si>
    <t>HABITAT NODE 09-4</t>
  </si>
  <si>
    <t>PLATFORM OMEGA</t>
  </si>
  <si>
    <t>PLATFORM</t>
  </si>
  <si>
    <t>SHARKS</t>
  </si>
  <si>
    <t>COURIER SIEVE NODE FACILITY</t>
  </si>
  <si>
    <t>FACILITY</t>
  </si>
  <si>
    <t>GOLDEN CHILD</t>
  </si>
  <si>
    <t>UNLISTED TOWER</t>
  </si>
  <si>
    <t>QUARANTINE STACK CHORUS</t>
  </si>
  <si>
    <t>QUARANTINE STACK</t>
  </si>
  <si>
    <t>QUARANTINE STACK AMEN</t>
  </si>
  <si>
    <t>QUARANTINE STACK DAWN</t>
  </si>
  <si>
    <t>QUARANTINE STACK AURORA</t>
  </si>
  <si>
    <t>THE LAST LISTENER STATION</t>
  </si>
  <si>
    <t>SEED RESERVE 03</t>
  </si>
  <si>
    <t>HABITAT NODE 03-12.3</t>
  </si>
  <si>
    <t>TRANSPOSIUM</t>
  </si>
  <si>
    <t>HABITAT NODE 08-16</t>
  </si>
  <si>
    <t>SANCTUARY DOCK 12</t>
  </si>
  <si>
    <t>HELIOS RESERVE LYRA</t>
  </si>
  <si>
    <t>REFUEL OUTPOST DELTA</t>
  </si>
  <si>
    <t>NAVIGATION BEACON 32</t>
  </si>
  <si>
    <t>HABITAT NODE 14-7</t>
  </si>
  <si>
    <t>EXODUS STATION</t>
  </si>
  <si>
    <t>ROCKETS</t>
  </si>
  <si>
    <t>TALON OFFSHORE PROVING DECK</t>
  </si>
  <si>
    <t>PROVING DECK</t>
  </si>
  <si>
    <t>FIRST WHISPER</t>
  </si>
  <si>
    <t>DEEP SILENCE</t>
  </si>
  <si>
    <t>FAR HORIZON</t>
  </si>
  <si>
    <t>GREY MOUTH</t>
  </si>
  <si>
    <t>TWIN TIDE</t>
  </si>
  <si>
    <t>WHISPERS WITHIN' LOG</t>
  </si>
  <si>
    <t>WHISPERS WITHIN' LOG; DISCOVERED</t>
  </si>
  <si>
    <t>HIDDEN (NOT FROM LAST LISTENER REVEAL)</t>
  </si>
  <si>
    <t>RADIUS</t>
  </si>
  <si>
    <t>HABITAT NODE 38-98</t>
  </si>
  <si>
    <t>SPOILER</t>
  </si>
  <si>
    <t>SPOILER_TRIGGER</t>
  </si>
  <si>
    <t>WHISPERS WITHIN 1</t>
  </si>
  <si>
    <t>WHISPERS WITHIN 2</t>
  </si>
  <si>
    <t>TRUE CHOICES</t>
  </si>
  <si>
    <t>ASCENSION</t>
  </si>
  <si>
    <t>THE ISOLATION</t>
  </si>
  <si>
    <t>THE LAST LISTENER</t>
  </si>
  <si>
    <t>HIDDEN</t>
  </si>
  <si>
    <t>LAZARUS COMPLEX</t>
  </si>
  <si>
    <t>FROM</t>
  </si>
  <si>
    <t>TO</t>
  </si>
  <si>
    <t>ID</t>
  </si>
  <si>
    <t>FROM_X</t>
  </si>
  <si>
    <t>FROM_Y</t>
  </si>
  <si>
    <t>TO_X</t>
  </si>
  <si>
    <t>TO_Y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</si>
</sst>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A74E9-D0B9-4077-B3F4-F9DC7A7200C1}" name="TLC_MAPLOC" displayName="TLC_MAPLOC" ref="A1:H81" totalsRowShown="0">
  <autoFilter ref="A1:H81" xr:uid="{601A74E9-D0B9-4077-B3F4-F9DC7A7200C1}"/>
  <sortState xmlns:xlrd2="http://schemas.microsoft.com/office/spreadsheetml/2017/richdata2" ref="A2:H81">
    <sortCondition ref="B1:B81"/>
  </sortState>
  <tableColumns count="8">
    <tableColumn id="1" xr3:uid="{D5190C65-CB9C-4622-8B1C-5311DD10CD12}" name="X"/>
    <tableColumn id="2" xr3:uid="{FFEAB159-E498-44C7-8622-2EEA92F69679}" name="Y"/>
    <tableColumn id="3" xr3:uid="{61830EC4-4FF1-4385-99D5-D42179F98372}" name="NAME"/>
    <tableColumn id="4" xr3:uid="{721FDE98-5FF5-4E33-8723-3E7D3007EE4B}" name="TYPE"/>
    <tableColumn id="5" xr3:uid="{7A95D9CE-275E-46ED-A43D-8029AB339E72}" name="NOTE"/>
    <tableColumn id="6" xr3:uid="{7D59D877-26B3-42B5-B57F-BC7B45341488}" name="RADIUS"/>
    <tableColumn id="7" xr3:uid="{C071ACD8-CFDD-4CA5-B8CE-F1573CD70402}" name="SPOILER"/>
    <tableColumn id="8" xr3:uid="{364407C1-5E44-4472-95D3-1489ED8A0CBB}" name="SPOILER_TRIG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826A6-9032-4FD8-A8A6-DC2C25EE3C2E}" name="TLC_CONN" displayName="TLC_CONN" ref="A1:G49" totalsRowShown="0" dataDxfId="8" tableBorderDxfId="7">
  <autoFilter ref="A1:G49" xr:uid="{937826A6-9032-4FD8-A8A6-DC2C25EE3C2E}"/>
  <tableColumns count="7">
    <tableColumn id="4" xr3:uid="{B29941E5-265D-4CA1-81B1-CF12BE15E1C5}" name="ID" dataDxfId="6">
      <calculatedColumnFormula>ROW() - ROW(TLC_CONN[[#Headers],[ID]])</calculatedColumnFormula>
    </tableColumn>
    <tableColumn id="1" xr3:uid="{F0DF8459-E118-4520-A7D0-A880B44CE864}" name="FROM" dataDxfId="5"/>
    <tableColumn id="5" xr3:uid="{9FE2904A-5A66-403E-B637-72D042BCEB72}" name="FROM_X" dataDxfId="3"/>
    <tableColumn id="3" xr3:uid="{F7FFA296-8ABC-4ADE-9EF1-AA50D0D2442B}" name="FROM_Y" dataDxfId="2"/>
    <tableColumn id="2" xr3:uid="{2CE53522-B95B-4A3A-92C6-4709CCB517A0}" name="TO" dataDxfId="4"/>
    <tableColumn id="6" xr3:uid="{D0B02A90-6FB9-495E-A590-1405FAA72216}" name="TO_X" dataDxfId="1"/>
    <tableColumn id="7" xr3:uid="{15A4A68F-F690-4BD2-822B-B0DE65B870B1}" name="TO_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9EF5-661E-4D63-A1DF-673735CADB77}">
  <dimension ref="A1:H81"/>
  <sheetViews>
    <sheetView topLeftCell="A17" workbookViewId="0">
      <selection activeCell="C59" sqref="C59"/>
    </sheetView>
  </sheetViews>
  <sheetFormatPr defaultRowHeight="15" x14ac:dyDescent="0.25"/>
  <cols>
    <col min="1" max="2" width="4.42578125" bestFit="1" customWidth="1"/>
    <col min="3" max="3" width="30.85546875" bestFit="1" customWidth="1"/>
    <col min="4" max="4" width="20.140625" bestFit="1" customWidth="1"/>
    <col min="5" max="5" width="39.7109375" bestFit="1" customWidth="1"/>
    <col min="7" max="7" width="11" bestFit="1" customWidth="1"/>
    <col min="8" max="8" width="25" bestFit="1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6</v>
      </c>
      <c r="E1" t="s">
        <v>16</v>
      </c>
      <c r="F1" t="s">
        <v>91</v>
      </c>
      <c r="G1" t="s">
        <v>93</v>
      </c>
      <c r="H1" t="s">
        <v>94</v>
      </c>
    </row>
    <row r="2" spans="1:8" x14ac:dyDescent="0.25">
      <c r="A2">
        <v>55</v>
      </c>
      <c r="B2">
        <v>-82</v>
      </c>
      <c r="C2" t="s">
        <v>3</v>
      </c>
      <c r="D2" t="s">
        <v>7</v>
      </c>
      <c r="E2" s="1" t="s">
        <v>89</v>
      </c>
      <c r="G2" t="b">
        <v>1</v>
      </c>
      <c r="H2" t="s">
        <v>95</v>
      </c>
    </row>
    <row r="3" spans="1:8" x14ac:dyDescent="0.25">
      <c r="A3">
        <v>70</v>
      </c>
      <c r="B3">
        <v>-82</v>
      </c>
      <c r="C3" t="s">
        <v>2</v>
      </c>
      <c r="D3" t="s">
        <v>8</v>
      </c>
      <c r="G3" t="b">
        <v>1</v>
      </c>
      <c r="H3" t="s">
        <v>19</v>
      </c>
    </row>
    <row r="4" spans="1:8" x14ac:dyDescent="0.25">
      <c r="A4">
        <v>68</v>
      </c>
      <c r="B4">
        <v>-78</v>
      </c>
      <c r="C4" t="s">
        <v>5</v>
      </c>
      <c r="D4" t="s">
        <v>9</v>
      </c>
      <c r="G4" t="b">
        <v>1</v>
      </c>
      <c r="H4" t="s">
        <v>19</v>
      </c>
    </row>
    <row r="5" spans="1:8" x14ac:dyDescent="0.25">
      <c r="A5">
        <v>85</v>
      </c>
      <c r="B5">
        <v>-74</v>
      </c>
      <c r="C5" t="s">
        <v>27</v>
      </c>
      <c r="D5" t="s">
        <v>10</v>
      </c>
      <c r="G5" t="b">
        <v>1</v>
      </c>
      <c r="H5" t="s">
        <v>19</v>
      </c>
    </row>
    <row r="6" spans="1:8" x14ac:dyDescent="0.25">
      <c r="A6">
        <v>49</v>
      </c>
      <c r="B6">
        <v>-70</v>
      </c>
      <c r="C6" t="s">
        <v>11</v>
      </c>
      <c r="D6" t="s">
        <v>12</v>
      </c>
      <c r="G6" t="b">
        <v>1</v>
      </c>
      <c r="H6" t="s">
        <v>19</v>
      </c>
    </row>
    <row r="7" spans="1:8" x14ac:dyDescent="0.25">
      <c r="A7">
        <v>70</v>
      </c>
      <c r="B7">
        <v>-68</v>
      </c>
      <c r="C7" t="s">
        <v>27</v>
      </c>
      <c r="D7" t="s">
        <v>13</v>
      </c>
      <c r="G7" t="b">
        <v>1</v>
      </c>
      <c r="H7" t="s">
        <v>100</v>
      </c>
    </row>
    <row r="8" spans="1:8" x14ac:dyDescent="0.25">
      <c r="A8">
        <v>82</v>
      </c>
      <c r="B8">
        <v>-65</v>
      </c>
      <c r="C8" t="s">
        <v>14</v>
      </c>
      <c r="D8" t="s">
        <v>13</v>
      </c>
      <c r="E8" t="s">
        <v>15</v>
      </c>
      <c r="G8" t="b">
        <v>1</v>
      </c>
      <c r="H8" t="s">
        <v>19</v>
      </c>
    </row>
    <row r="9" spans="1:8" x14ac:dyDescent="0.25">
      <c r="A9">
        <v>62</v>
      </c>
      <c r="B9">
        <v>-64</v>
      </c>
      <c r="C9" t="s">
        <v>17</v>
      </c>
      <c r="D9" t="s">
        <v>18</v>
      </c>
      <c r="G9" t="b">
        <v>1</v>
      </c>
      <c r="H9" t="s">
        <v>19</v>
      </c>
    </row>
    <row r="10" spans="1:8" x14ac:dyDescent="0.25">
      <c r="A10">
        <v>91</v>
      </c>
      <c r="B10">
        <v>-57</v>
      </c>
      <c r="C10" t="s">
        <v>21</v>
      </c>
      <c r="D10" t="s">
        <v>9</v>
      </c>
      <c r="G10" t="b">
        <v>1</v>
      </c>
      <c r="H10" t="s">
        <v>19</v>
      </c>
    </row>
    <row r="11" spans="1:8" x14ac:dyDescent="0.25">
      <c r="A11">
        <v>52</v>
      </c>
      <c r="B11">
        <v>-56</v>
      </c>
      <c r="C11" t="s">
        <v>27</v>
      </c>
      <c r="D11" t="s">
        <v>13</v>
      </c>
      <c r="G11" t="b">
        <v>1</v>
      </c>
      <c r="H11" t="s">
        <v>100</v>
      </c>
    </row>
    <row r="12" spans="1:8" x14ac:dyDescent="0.25">
      <c r="A12">
        <v>69</v>
      </c>
      <c r="B12">
        <v>-53</v>
      </c>
      <c r="C12" t="s">
        <v>19</v>
      </c>
      <c r="D12" t="s">
        <v>20</v>
      </c>
      <c r="F12">
        <v>30</v>
      </c>
      <c r="G12" t="b">
        <v>1</v>
      </c>
      <c r="H12" t="s">
        <v>19</v>
      </c>
    </row>
    <row r="13" spans="1:8" x14ac:dyDescent="0.25">
      <c r="A13">
        <v>80</v>
      </c>
      <c r="B13">
        <v>-51</v>
      </c>
      <c r="C13" t="s">
        <v>27</v>
      </c>
      <c r="D13" t="s">
        <v>13</v>
      </c>
      <c r="G13" t="b">
        <v>1</v>
      </c>
      <c r="H13" t="s">
        <v>100</v>
      </c>
    </row>
    <row r="14" spans="1:8" x14ac:dyDescent="0.25">
      <c r="A14">
        <v>47</v>
      </c>
      <c r="B14">
        <v>-49</v>
      </c>
      <c r="C14" t="s">
        <v>22</v>
      </c>
      <c r="D14" t="s">
        <v>9</v>
      </c>
      <c r="G14" t="b">
        <v>1</v>
      </c>
      <c r="H14" t="s">
        <v>19</v>
      </c>
    </row>
    <row r="15" spans="1:8" x14ac:dyDescent="0.25">
      <c r="A15">
        <v>149</v>
      </c>
      <c r="B15">
        <v>-46</v>
      </c>
      <c r="C15" t="s">
        <v>67</v>
      </c>
      <c r="D15" t="s">
        <v>65</v>
      </c>
      <c r="G15" t="b">
        <v>1</v>
      </c>
      <c r="H15" t="s">
        <v>99</v>
      </c>
    </row>
    <row r="16" spans="1:8" x14ac:dyDescent="0.25">
      <c r="A16">
        <v>84</v>
      </c>
      <c r="B16">
        <v>-45</v>
      </c>
      <c r="C16" t="s">
        <v>23</v>
      </c>
      <c r="D16" t="s">
        <v>24</v>
      </c>
      <c r="G16" t="b">
        <v>1</v>
      </c>
      <c r="H16" t="s">
        <v>19</v>
      </c>
    </row>
    <row r="17" spans="1:8" x14ac:dyDescent="0.25">
      <c r="A17">
        <v>70</v>
      </c>
      <c r="B17">
        <v>-42</v>
      </c>
      <c r="C17" t="s">
        <v>25</v>
      </c>
      <c r="D17" t="s">
        <v>8</v>
      </c>
      <c r="G17" t="b">
        <v>1</v>
      </c>
      <c r="H17" t="s">
        <v>19</v>
      </c>
    </row>
    <row r="18" spans="1:8" x14ac:dyDescent="0.25">
      <c r="A18">
        <v>57</v>
      </c>
      <c r="B18">
        <v>-41</v>
      </c>
      <c r="C18" t="s">
        <v>27</v>
      </c>
      <c r="D18" t="s">
        <v>13</v>
      </c>
      <c r="G18" t="b">
        <v>1</v>
      </c>
      <c r="H18" t="s">
        <v>100</v>
      </c>
    </row>
    <row r="19" spans="1:8" x14ac:dyDescent="0.25">
      <c r="A19">
        <v>59</v>
      </c>
      <c r="B19">
        <v>-41</v>
      </c>
      <c r="C19" t="s">
        <v>26</v>
      </c>
      <c r="D19" t="s">
        <v>10</v>
      </c>
      <c r="E19" t="s">
        <v>28</v>
      </c>
      <c r="G19" t="b">
        <v>1</v>
      </c>
      <c r="H19" t="s">
        <v>102</v>
      </c>
    </row>
    <row r="20" spans="1:8" x14ac:dyDescent="0.25">
      <c r="A20">
        <v>146</v>
      </c>
      <c r="B20">
        <v>-39</v>
      </c>
      <c r="C20" t="s">
        <v>66</v>
      </c>
      <c r="D20" t="s">
        <v>65</v>
      </c>
      <c r="G20" t="b">
        <v>1</v>
      </c>
      <c r="H20" t="s">
        <v>99</v>
      </c>
    </row>
    <row r="21" spans="1:8" x14ac:dyDescent="0.25">
      <c r="A21">
        <v>8</v>
      </c>
      <c r="B21">
        <v>-38</v>
      </c>
      <c r="C21" t="s">
        <v>92</v>
      </c>
      <c r="D21" t="s">
        <v>9</v>
      </c>
      <c r="G21" t="b">
        <v>1</v>
      </c>
      <c r="H21" t="s">
        <v>101</v>
      </c>
    </row>
    <row r="22" spans="1:8" x14ac:dyDescent="0.25">
      <c r="A22">
        <v>160</v>
      </c>
      <c r="B22">
        <v>-38</v>
      </c>
      <c r="C22" t="s">
        <v>68</v>
      </c>
      <c r="D22" t="s">
        <v>65</v>
      </c>
      <c r="G22" t="b">
        <v>1</v>
      </c>
      <c r="H22" t="s">
        <v>99</v>
      </c>
    </row>
    <row r="23" spans="1:8" x14ac:dyDescent="0.25">
      <c r="A23">
        <v>87</v>
      </c>
      <c r="B23">
        <v>-36</v>
      </c>
      <c r="C23" t="s">
        <v>27</v>
      </c>
      <c r="D23" t="s">
        <v>13</v>
      </c>
      <c r="G23" t="b">
        <v>1</v>
      </c>
      <c r="H23" t="s">
        <v>100</v>
      </c>
    </row>
    <row r="24" spans="1:8" x14ac:dyDescent="0.25">
      <c r="A24">
        <v>145</v>
      </c>
      <c r="B24">
        <v>-32</v>
      </c>
      <c r="C24" t="s">
        <v>64</v>
      </c>
      <c r="D24" t="s">
        <v>65</v>
      </c>
      <c r="G24" t="b">
        <v>1</v>
      </c>
      <c r="H24" t="s">
        <v>99</v>
      </c>
    </row>
    <row r="25" spans="1:8" x14ac:dyDescent="0.25">
      <c r="A25">
        <v>39</v>
      </c>
      <c r="B25">
        <v>-31</v>
      </c>
      <c r="C25" t="s">
        <v>32</v>
      </c>
      <c r="D25" t="s">
        <v>9</v>
      </c>
      <c r="G25" t="b">
        <v>1</v>
      </c>
      <c r="H25" t="s">
        <v>101</v>
      </c>
    </row>
    <row r="26" spans="1:8" x14ac:dyDescent="0.25">
      <c r="A26">
        <v>74</v>
      </c>
      <c r="B26">
        <v>-31</v>
      </c>
      <c r="C26" t="s">
        <v>29</v>
      </c>
      <c r="D26" t="s">
        <v>30</v>
      </c>
      <c r="G26" t="b">
        <v>1</v>
      </c>
      <c r="H26" t="s">
        <v>102</v>
      </c>
    </row>
    <row r="27" spans="1:8" x14ac:dyDescent="0.25">
      <c r="A27">
        <v>60</v>
      </c>
      <c r="B27">
        <v>-26</v>
      </c>
      <c r="C27" t="s">
        <v>31</v>
      </c>
      <c r="D27" t="s">
        <v>18</v>
      </c>
      <c r="G27" t="b">
        <v>1</v>
      </c>
      <c r="H27" t="s">
        <v>102</v>
      </c>
    </row>
    <row r="28" spans="1:8" x14ac:dyDescent="0.25">
      <c r="A28">
        <v>112</v>
      </c>
      <c r="B28">
        <v>-21</v>
      </c>
      <c r="C28" t="s">
        <v>63</v>
      </c>
      <c r="D28" t="s">
        <v>30</v>
      </c>
      <c r="G28" t="b">
        <v>1</v>
      </c>
      <c r="H28" t="s">
        <v>101</v>
      </c>
    </row>
    <row r="29" spans="1:8" x14ac:dyDescent="0.25">
      <c r="A29">
        <v>49</v>
      </c>
      <c r="B29">
        <v>-20</v>
      </c>
      <c r="C29" t="s">
        <v>84</v>
      </c>
      <c r="D29" t="s">
        <v>7</v>
      </c>
      <c r="E29" s="1" t="s">
        <v>88</v>
      </c>
      <c r="G29" t="b">
        <v>1</v>
      </c>
      <c r="H29" t="s">
        <v>95</v>
      </c>
    </row>
    <row r="30" spans="1:8" x14ac:dyDescent="0.25">
      <c r="A30">
        <v>70</v>
      </c>
      <c r="B30">
        <v>-17</v>
      </c>
      <c r="C30" t="s">
        <v>33</v>
      </c>
      <c r="D30" t="s">
        <v>8</v>
      </c>
      <c r="G30" t="b">
        <v>1</v>
      </c>
      <c r="H30" t="s">
        <v>102</v>
      </c>
    </row>
    <row r="31" spans="1:8" x14ac:dyDescent="0.25">
      <c r="A31">
        <v>82</v>
      </c>
      <c r="B31">
        <v>-15</v>
      </c>
      <c r="C31" t="s">
        <v>34</v>
      </c>
      <c r="D31" t="s">
        <v>9</v>
      </c>
      <c r="G31" t="b">
        <v>1</v>
      </c>
      <c r="H31" t="s">
        <v>102</v>
      </c>
    </row>
    <row r="32" spans="1:8" x14ac:dyDescent="0.25">
      <c r="A32">
        <v>56</v>
      </c>
      <c r="B32">
        <v>-14</v>
      </c>
      <c r="C32" t="s">
        <v>27</v>
      </c>
      <c r="D32" t="s">
        <v>13</v>
      </c>
      <c r="G32" t="b">
        <v>1</v>
      </c>
      <c r="H32" t="s">
        <v>100</v>
      </c>
    </row>
    <row r="33" spans="1:8" x14ac:dyDescent="0.25">
      <c r="A33">
        <v>57</v>
      </c>
      <c r="B33">
        <v>-14</v>
      </c>
      <c r="C33" t="s">
        <v>27</v>
      </c>
      <c r="D33" t="s">
        <v>10</v>
      </c>
      <c r="G33" t="b">
        <v>1</v>
      </c>
      <c r="H33" t="s">
        <v>102</v>
      </c>
    </row>
    <row r="34" spans="1:8" x14ac:dyDescent="0.25">
      <c r="A34">
        <v>27</v>
      </c>
      <c r="B34">
        <v>-12</v>
      </c>
      <c r="C34" t="s">
        <v>27</v>
      </c>
      <c r="D34" t="s">
        <v>10</v>
      </c>
      <c r="G34" t="b">
        <v>1</v>
      </c>
      <c r="H34" t="s">
        <v>46</v>
      </c>
    </row>
    <row r="35" spans="1:8" x14ac:dyDescent="0.25">
      <c r="A35">
        <v>28</v>
      </c>
      <c r="B35">
        <v>-12</v>
      </c>
      <c r="C35" t="s">
        <v>27</v>
      </c>
      <c r="D35" t="s">
        <v>13</v>
      </c>
      <c r="G35" t="b">
        <v>1</v>
      </c>
      <c r="H35" t="s">
        <v>100</v>
      </c>
    </row>
    <row r="36" spans="1:8" x14ac:dyDescent="0.25">
      <c r="A36">
        <v>47</v>
      </c>
      <c r="B36">
        <v>-6</v>
      </c>
      <c r="C36" t="s">
        <v>40</v>
      </c>
      <c r="D36" t="s">
        <v>24</v>
      </c>
      <c r="G36" t="b">
        <v>1</v>
      </c>
      <c r="H36" t="s">
        <v>46</v>
      </c>
    </row>
    <row r="37" spans="1:8" x14ac:dyDescent="0.25">
      <c r="A37">
        <v>79</v>
      </c>
      <c r="B37">
        <v>-6</v>
      </c>
      <c r="C37" t="s">
        <v>35</v>
      </c>
      <c r="D37" t="s">
        <v>13</v>
      </c>
      <c r="E37" t="s">
        <v>15</v>
      </c>
      <c r="G37" t="b">
        <v>1</v>
      </c>
      <c r="H37" t="s">
        <v>100</v>
      </c>
    </row>
    <row r="38" spans="1:8" x14ac:dyDescent="0.25">
      <c r="A38">
        <v>30</v>
      </c>
      <c r="B38">
        <v>-2</v>
      </c>
      <c r="C38" t="s">
        <v>41</v>
      </c>
      <c r="D38" t="s">
        <v>8</v>
      </c>
      <c r="G38" t="b">
        <v>1</v>
      </c>
      <c r="H38" t="s">
        <v>46</v>
      </c>
    </row>
    <row r="39" spans="1:8" x14ac:dyDescent="0.25">
      <c r="A39">
        <v>55</v>
      </c>
      <c r="B39">
        <v>-2</v>
      </c>
      <c r="C39" t="s">
        <v>39</v>
      </c>
      <c r="D39" t="s">
        <v>8</v>
      </c>
      <c r="G39" t="b">
        <v>1</v>
      </c>
      <c r="H39" t="s">
        <v>46</v>
      </c>
    </row>
    <row r="40" spans="1:8" x14ac:dyDescent="0.25">
      <c r="A40">
        <v>69</v>
      </c>
      <c r="B40">
        <v>-2</v>
      </c>
      <c r="C40" t="s">
        <v>36</v>
      </c>
      <c r="D40" t="s">
        <v>37</v>
      </c>
      <c r="E40" t="s">
        <v>38</v>
      </c>
      <c r="F40">
        <v>30</v>
      </c>
      <c r="G40" t="b">
        <v>1</v>
      </c>
      <c r="H40" t="s">
        <v>102</v>
      </c>
    </row>
    <row r="41" spans="1:8" x14ac:dyDescent="0.25">
      <c r="A41">
        <v>84</v>
      </c>
      <c r="B41">
        <v>-2</v>
      </c>
      <c r="C41" t="s">
        <v>50</v>
      </c>
      <c r="D41" t="s">
        <v>8</v>
      </c>
      <c r="G41" t="b">
        <v>1</v>
      </c>
      <c r="H41" t="s">
        <v>102</v>
      </c>
    </row>
    <row r="42" spans="1:8" x14ac:dyDescent="0.25">
      <c r="A42">
        <v>110</v>
      </c>
      <c r="B42">
        <v>-2</v>
      </c>
      <c r="C42" t="s">
        <v>51</v>
      </c>
      <c r="D42" t="s">
        <v>8</v>
      </c>
      <c r="G42" t="b">
        <v>1</v>
      </c>
      <c r="H42" t="s">
        <v>101</v>
      </c>
    </row>
    <row r="43" spans="1:8" x14ac:dyDescent="0.25">
      <c r="A43">
        <v>150</v>
      </c>
      <c r="B43">
        <v>-2</v>
      </c>
      <c r="C43" t="s">
        <v>52</v>
      </c>
      <c r="D43" t="s">
        <v>8</v>
      </c>
      <c r="G43" t="b">
        <v>1</v>
      </c>
      <c r="H43" t="s">
        <v>101</v>
      </c>
    </row>
    <row r="44" spans="1:8" x14ac:dyDescent="0.25">
      <c r="A44">
        <v>168</v>
      </c>
      <c r="B44">
        <v>-2</v>
      </c>
      <c r="C44" t="s">
        <v>60</v>
      </c>
      <c r="D44" t="s">
        <v>61</v>
      </c>
      <c r="E44" t="s">
        <v>62</v>
      </c>
      <c r="G44" t="b">
        <v>1</v>
      </c>
      <c r="H44" t="s">
        <v>97</v>
      </c>
    </row>
    <row r="45" spans="1:8" x14ac:dyDescent="0.25">
      <c r="A45">
        <v>23</v>
      </c>
      <c r="B45">
        <v>4</v>
      </c>
      <c r="C45" t="s">
        <v>45</v>
      </c>
      <c r="D45" t="s">
        <v>9</v>
      </c>
      <c r="G45" t="b">
        <v>1</v>
      </c>
      <c r="H45" t="s">
        <v>46</v>
      </c>
    </row>
    <row r="46" spans="1:8" x14ac:dyDescent="0.25">
      <c r="A46">
        <v>80</v>
      </c>
      <c r="B46">
        <v>4</v>
      </c>
      <c r="C46" t="s">
        <v>27</v>
      </c>
      <c r="D46" t="s">
        <v>10</v>
      </c>
      <c r="G46" t="b">
        <v>1</v>
      </c>
      <c r="H46" t="s">
        <v>46</v>
      </c>
    </row>
    <row r="47" spans="1:8" x14ac:dyDescent="0.25">
      <c r="A47">
        <v>110</v>
      </c>
      <c r="B47">
        <v>4</v>
      </c>
      <c r="C47" t="s">
        <v>86</v>
      </c>
      <c r="D47" t="s">
        <v>7</v>
      </c>
      <c r="E47" s="1" t="s">
        <v>88</v>
      </c>
      <c r="G47" t="b">
        <v>1</v>
      </c>
      <c r="H47" t="s">
        <v>95</v>
      </c>
    </row>
    <row r="48" spans="1:8" x14ac:dyDescent="0.25">
      <c r="A48">
        <v>9</v>
      </c>
      <c r="B48">
        <v>5</v>
      </c>
      <c r="C48" t="s">
        <v>83</v>
      </c>
      <c r="D48" t="s">
        <v>7</v>
      </c>
      <c r="E48" s="1" t="s">
        <v>88</v>
      </c>
      <c r="G48" t="b">
        <v>1</v>
      </c>
      <c r="H48" t="s">
        <v>95</v>
      </c>
    </row>
    <row r="49" spans="1:8" x14ac:dyDescent="0.25">
      <c r="A49">
        <v>33</v>
      </c>
      <c r="B49">
        <v>6</v>
      </c>
      <c r="C49" t="s">
        <v>46</v>
      </c>
      <c r="D49" t="s">
        <v>20</v>
      </c>
      <c r="F49">
        <v>26</v>
      </c>
      <c r="G49" t="b">
        <v>1</v>
      </c>
      <c r="H49" t="s">
        <v>46</v>
      </c>
    </row>
    <row r="50" spans="1:8" x14ac:dyDescent="0.25">
      <c r="A50">
        <v>89</v>
      </c>
      <c r="B50">
        <v>6</v>
      </c>
      <c r="C50" t="s">
        <v>57</v>
      </c>
      <c r="D50" t="s">
        <v>58</v>
      </c>
      <c r="E50" t="s">
        <v>59</v>
      </c>
      <c r="G50" t="b">
        <v>1</v>
      </c>
      <c r="H50" t="s">
        <v>46</v>
      </c>
    </row>
    <row r="51" spans="1:8" x14ac:dyDescent="0.25">
      <c r="A51">
        <v>11</v>
      </c>
      <c r="B51">
        <v>8</v>
      </c>
      <c r="C51" t="s">
        <v>42</v>
      </c>
      <c r="D51" t="s">
        <v>43</v>
      </c>
      <c r="E51" t="s">
        <v>44</v>
      </c>
    </row>
    <row r="52" spans="1:8" x14ac:dyDescent="0.25">
      <c r="A52">
        <v>53</v>
      </c>
      <c r="B52">
        <v>9</v>
      </c>
      <c r="C52" t="s">
        <v>47</v>
      </c>
      <c r="D52" t="s">
        <v>18</v>
      </c>
      <c r="G52" t="b">
        <v>1</v>
      </c>
      <c r="H52" t="s">
        <v>46</v>
      </c>
    </row>
    <row r="53" spans="1:8" x14ac:dyDescent="0.25">
      <c r="A53">
        <v>59</v>
      </c>
      <c r="B53">
        <v>11</v>
      </c>
      <c r="C53" t="s">
        <v>48</v>
      </c>
      <c r="D53" t="s">
        <v>13</v>
      </c>
      <c r="E53" t="s">
        <v>15</v>
      </c>
      <c r="G53" t="b">
        <v>1</v>
      </c>
      <c r="H53" t="s">
        <v>100</v>
      </c>
    </row>
    <row r="54" spans="1:8" x14ac:dyDescent="0.25">
      <c r="A54">
        <v>115</v>
      </c>
      <c r="B54">
        <v>11</v>
      </c>
      <c r="C54" t="s">
        <v>69</v>
      </c>
      <c r="D54" t="s">
        <v>20</v>
      </c>
      <c r="F54">
        <v>10</v>
      </c>
      <c r="G54" t="b">
        <v>1</v>
      </c>
      <c r="H54" t="s">
        <v>98</v>
      </c>
    </row>
    <row r="55" spans="1:8" x14ac:dyDescent="0.25">
      <c r="A55">
        <v>118</v>
      </c>
      <c r="B55">
        <v>13</v>
      </c>
      <c r="C55" t="s">
        <v>70</v>
      </c>
      <c r="D55" t="s">
        <v>13</v>
      </c>
      <c r="G55" t="b">
        <v>1</v>
      </c>
      <c r="H55" t="s">
        <v>100</v>
      </c>
    </row>
    <row r="56" spans="1:8" x14ac:dyDescent="0.25">
      <c r="A56">
        <v>15</v>
      </c>
      <c r="B56">
        <v>14</v>
      </c>
      <c r="C56" t="s">
        <v>27</v>
      </c>
      <c r="D56" t="s">
        <v>13</v>
      </c>
      <c r="G56" t="b">
        <v>1</v>
      </c>
      <c r="H56" t="s">
        <v>100</v>
      </c>
    </row>
    <row r="57" spans="1:8" x14ac:dyDescent="0.25">
      <c r="A57">
        <v>70</v>
      </c>
      <c r="B57">
        <v>14</v>
      </c>
      <c r="C57" t="s">
        <v>49</v>
      </c>
      <c r="D57" t="s">
        <v>8</v>
      </c>
      <c r="G57" t="b">
        <v>1</v>
      </c>
      <c r="H57" t="s">
        <v>46</v>
      </c>
    </row>
    <row r="58" spans="1:8" x14ac:dyDescent="0.25">
      <c r="A58">
        <v>97</v>
      </c>
      <c r="B58">
        <v>15</v>
      </c>
      <c r="C58" t="s">
        <v>71</v>
      </c>
      <c r="D58" t="s">
        <v>9</v>
      </c>
      <c r="G58" t="b">
        <v>1</v>
      </c>
      <c r="H58" t="s">
        <v>77</v>
      </c>
    </row>
    <row r="59" spans="1:8" x14ac:dyDescent="0.25">
      <c r="A59">
        <v>82</v>
      </c>
      <c r="B59">
        <v>16</v>
      </c>
      <c r="C59" t="s">
        <v>56</v>
      </c>
      <c r="D59" t="s">
        <v>9</v>
      </c>
      <c r="G59" t="b">
        <v>1</v>
      </c>
      <c r="H59" t="s">
        <v>46</v>
      </c>
    </row>
    <row r="60" spans="1:8" x14ac:dyDescent="0.25">
      <c r="A60">
        <v>39</v>
      </c>
      <c r="B60">
        <v>17</v>
      </c>
      <c r="C60" t="s">
        <v>27</v>
      </c>
      <c r="D60" t="s">
        <v>13</v>
      </c>
      <c r="G60" t="b">
        <v>1</v>
      </c>
      <c r="H60" t="s">
        <v>100</v>
      </c>
    </row>
    <row r="61" spans="1:8" x14ac:dyDescent="0.25">
      <c r="A61">
        <v>102</v>
      </c>
      <c r="B61">
        <v>19</v>
      </c>
      <c r="C61" t="s">
        <v>27</v>
      </c>
      <c r="D61" t="s">
        <v>10</v>
      </c>
      <c r="G61" t="b">
        <v>1</v>
      </c>
      <c r="H61" t="s">
        <v>77</v>
      </c>
    </row>
    <row r="62" spans="1:8" x14ac:dyDescent="0.25">
      <c r="A62">
        <v>110</v>
      </c>
      <c r="B62">
        <v>21</v>
      </c>
      <c r="C62" t="s">
        <v>72</v>
      </c>
      <c r="G62" t="b">
        <v>1</v>
      </c>
      <c r="H62" t="s">
        <v>77</v>
      </c>
    </row>
    <row r="63" spans="1:8" x14ac:dyDescent="0.25">
      <c r="A63">
        <v>130</v>
      </c>
      <c r="B63">
        <v>21</v>
      </c>
      <c r="C63" t="s">
        <v>73</v>
      </c>
      <c r="D63" t="s">
        <v>9</v>
      </c>
      <c r="G63" t="b">
        <v>1</v>
      </c>
      <c r="H63" t="s">
        <v>77</v>
      </c>
    </row>
    <row r="64" spans="1:8" x14ac:dyDescent="0.25">
      <c r="A64">
        <v>66</v>
      </c>
      <c r="B64">
        <v>22</v>
      </c>
      <c r="C64" t="s">
        <v>53</v>
      </c>
      <c r="D64" t="s">
        <v>54</v>
      </c>
      <c r="G64" t="b">
        <v>1</v>
      </c>
      <c r="H64" t="s">
        <v>46</v>
      </c>
    </row>
    <row r="65" spans="1:8" x14ac:dyDescent="0.25">
      <c r="A65">
        <v>88</v>
      </c>
      <c r="B65">
        <v>27</v>
      </c>
      <c r="C65" t="s">
        <v>74</v>
      </c>
      <c r="D65" t="s">
        <v>43</v>
      </c>
      <c r="G65" t="b">
        <v>1</v>
      </c>
      <c r="H65" t="s">
        <v>77</v>
      </c>
    </row>
    <row r="66" spans="1:8" x14ac:dyDescent="0.25">
      <c r="A66">
        <v>110</v>
      </c>
      <c r="B66">
        <v>28</v>
      </c>
      <c r="C66" t="s">
        <v>87</v>
      </c>
      <c r="D66" t="s">
        <v>7</v>
      </c>
      <c r="E66" s="1" t="s">
        <v>88</v>
      </c>
      <c r="G66" t="b">
        <v>1</v>
      </c>
      <c r="H66" t="s">
        <v>96</v>
      </c>
    </row>
    <row r="67" spans="1:8" x14ac:dyDescent="0.25">
      <c r="A67">
        <v>120</v>
      </c>
      <c r="B67">
        <v>28</v>
      </c>
      <c r="C67" t="s">
        <v>75</v>
      </c>
      <c r="D67" t="s">
        <v>18</v>
      </c>
      <c r="G67" t="b">
        <v>1</v>
      </c>
      <c r="H67" t="s">
        <v>77</v>
      </c>
    </row>
    <row r="68" spans="1:8" x14ac:dyDescent="0.25">
      <c r="A68">
        <v>96</v>
      </c>
      <c r="B68">
        <v>30</v>
      </c>
      <c r="C68" t="s">
        <v>27</v>
      </c>
      <c r="D68" t="s">
        <v>13</v>
      </c>
      <c r="G68" t="b">
        <v>1</v>
      </c>
      <c r="H68" t="s">
        <v>100</v>
      </c>
    </row>
    <row r="69" spans="1:8" x14ac:dyDescent="0.25">
      <c r="A69">
        <v>66.5</v>
      </c>
      <c r="B69">
        <v>32.700000000000003</v>
      </c>
      <c r="C69" t="s">
        <v>27</v>
      </c>
      <c r="D69" t="s">
        <v>13</v>
      </c>
      <c r="E69" t="s">
        <v>90</v>
      </c>
      <c r="G69" t="b">
        <v>1</v>
      </c>
      <c r="H69" t="s">
        <v>101</v>
      </c>
    </row>
    <row r="70" spans="1:8" x14ac:dyDescent="0.25">
      <c r="A70">
        <v>109</v>
      </c>
      <c r="B70">
        <v>35</v>
      </c>
      <c r="C70" t="s">
        <v>77</v>
      </c>
      <c r="D70" t="s">
        <v>20</v>
      </c>
      <c r="F70">
        <v>30</v>
      </c>
      <c r="G70" t="b">
        <v>1</v>
      </c>
      <c r="H70" t="s">
        <v>77</v>
      </c>
    </row>
    <row r="71" spans="1:8" x14ac:dyDescent="0.25">
      <c r="A71">
        <v>125</v>
      </c>
      <c r="B71">
        <v>35</v>
      </c>
      <c r="C71" t="s">
        <v>27</v>
      </c>
      <c r="D71" t="s">
        <v>13</v>
      </c>
      <c r="G71" t="b">
        <v>1</v>
      </c>
      <c r="H71" t="s">
        <v>100</v>
      </c>
    </row>
    <row r="72" spans="1:8" x14ac:dyDescent="0.25">
      <c r="A72">
        <v>135</v>
      </c>
      <c r="B72">
        <v>35</v>
      </c>
      <c r="C72" t="s">
        <v>27</v>
      </c>
      <c r="D72" t="s">
        <v>10</v>
      </c>
      <c r="G72" t="b">
        <v>1</v>
      </c>
      <c r="H72" t="s">
        <v>77</v>
      </c>
    </row>
    <row r="73" spans="1:8" x14ac:dyDescent="0.25">
      <c r="A73">
        <v>70</v>
      </c>
      <c r="B73">
        <v>38</v>
      </c>
      <c r="C73" t="s">
        <v>55</v>
      </c>
      <c r="D73" t="s">
        <v>8</v>
      </c>
      <c r="G73" t="b">
        <v>1</v>
      </c>
      <c r="H73" t="s">
        <v>101</v>
      </c>
    </row>
    <row r="74" spans="1:8" x14ac:dyDescent="0.25">
      <c r="A74">
        <v>91</v>
      </c>
      <c r="B74">
        <v>39</v>
      </c>
      <c r="C74" t="s">
        <v>76</v>
      </c>
      <c r="D74" t="s">
        <v>24</v>
      </c>
      <c r="G74" t="b">
        <v>1</v>
      </c>
      <c r="H74" t="s">
        <v>77</v>
      </c>
    </row>
    <row r="75" spans="1:8" x14ac:dyDescent="0.25">
      <c r="A75">
        <v>125</v>
      </c>
      <c r="B75">
        <v>48</v>
      </c>
      <c r="C75" t="s">
        <v>79</v>
      </c>
      <c r="D75" t="s">
        <v>37</v>
      </c>
      <c r="E75" t="s">
        <v>80</v>
      </c>
      <c r="G75" t="b">
        <v>1</v>
      </c>
      <c r="H75" t="s">
        <v>77</v>
      </c>
    </row>
    <row r="76" spans="1:8" x14ac:dyDescent="0.25">
      <c r="A76">
        <v>104</v>
      </c>
      <c r="B76">
        <v>50</v>
      </c>
      <c r="C76" t="s">
        <v>78</v>
      </c>
      <c r="D76" t="s">
        <v>9</v>
      </c>
      <c r="G76" t="b">
        <v>1</v>
      </c>
      <c r="H76" t="s">
        <v>77</v>
      </c>
    </row>
    <row r="77" spans="1:8" x14ac:dyDescent="0.25">
      <c r="A77">
        <v>90</v>
      </c>
      <c r="B77">
        <v>51</v>
      </c>
      <c r="C77" t="s">
        <v>27</v>
      </c>
      <c r="D77" t="s">
        <v>13</v>
      </c>
      <c r="G77" t="b">
        <v>1</v>
      </c>
      <c r="H77" t="s">
        <v>100</v>
      </c>
    </row>
    <row r="78" spans="1:8" x14ac:dyDescent="0.25">
      <c r="A78">
        <v>110</v>
      </c>
      <c r="B78">
        <v>53</v>
      </c>
      <c r="C78" t="s">
        <v>27</v>
      </c>
      <c r="D78" t="s">
        <v>13</v>
      </c>
      <c r="G78" t="b">
        <v>1</v>
      </c>
      <c r="H78" t="s">
        <v>100</v>
      </c>
    </row>
    <row r="79" spans="1:8" x14ac:dyDescent="0.25">
      <c r="A79">
        <v>108</v>
      </c>
      <c r="B79">
        <v>55</v>
      </c>
      <c r="C79" t="s">
        <v>27</v>
      </c>
      <c r="D79" t="s">
        <v>10</v>
      </c>
      <c r="G79" t="b">
        <v>1</v>
      </c>
      <c r="H79" t="s">
        <v>77</v>
      </c>
    </row>
    <row r="80" spans="1:8" x14ac:dyDescent="0.25">
      <c r="A80">
        <v>134</v>
      </c>
      <c r="B80">
        <v>55</v>
      </c>
      <c r="C80" t="s">
        <v>85</v>
      </c>
      <c r="D80" t="s">
        <v>7</v>
      </c>
      <c r="E80" s="1" t="s">
        <v>88</v>
      </c>
      <c r="G80" t="b">
        <v>1</v>
      </c>
      <c r="H80" t="s">
        <v>95</v>
      </c>
    </row>
    <row r="81" spans="1:8" x14ac:dyDescent="0.25">
      <c r="A81">
        <v>96</v>
      </c>
      <c r="B81">
        <v>58</v>
      </c>
      <c r="C81" t="s">
        <v>81</v>
      </c>
      <c r="D81" t="s">
        <v>82</v>
      </c>
      <c r="G81" t="b">
        <v>1</v>
      </c>
      <c r="H81" t="s">
        <v>77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03EF-E300-4974-97EF-722948EE5F8F}">
  <dimension ref="A1:G49"/>
  <sheetViews>
    <sheetView tabSelected="1" workbookViewId="0">
      <selection activeCell="J15" sqref="J15"/>
    </sheetView>
  </sheetViews>
  <sheetFormatPr defaultRowHeight="15" x14ac:dyDescent="0.25"/>
  <cols>
    <col min="1" max="1" width="5.28515625" bestFit="1" customWidth="1"/>
    <col min="2" max="2" width="25.7109375" bestFit="1" customWidth="1"/>
    <col min="3" max="4" width="10.5703125" bestFit="1" customWidth="1"/>
    <col min="5" max="5" width="25.7109375" bestFit="1" customWidth="1"/>
    <col min="6" max="7" width="7.7109375" bestFit="1" customWidth="1"/>
  </cols>
  <sheetData>
    <row r="1" spans="1:7" x14ac:dyDescent="0.25">
      <c r="A1" t="s">
        <v>105</v>
      </c>
      <c r="B1" t="s">
        <v>103</v>
      </c>
      <c r="C1" t="s">
        <v>106</v>
      </c>
      <c r="D1" t="s">
        <v>107</v>
      </c>
      <c r="E1" t="s">
        <v>104</v>
      </c>
      <c r="F1" t="s">
        <v>108</v>
      </c>
      <c r="G1" t="s">
        <v>109</v>
      </c>
    </row>
    <row r="2" spans="1:7" x14ac:dyDescent="0.25">
      <c r="A2">
        <f>ROW() - ROW(TLC_CONN[[#Headers],[ID]])</f>
        <v>1</v>
      </c>
      <c r="B2" s="2" t="s">
        <v>42</v>
      </c>
      <c r="C2" s="3">
        <v>11</v>
      </c>
      <c r="D2" s="3">
        <v>8</v>
      </c>
      <c r="E2" t="s">
        <v>45</v>
      </c>
      <c r="F2" s="3">
        <v>23</v>
      </c>
      <c r="G2" s="3">
        <v>4</v>
      </c>
    </row>
    <row r="3" spans="1:7" x14ac:dyDescent="0.25">
      <c r="A3">
        <f>ROW() - ROW(TLC_CONN[[#Headers],[ID]])</f>
        <v>2</v>
      </c>
      <c r="B3" s="2" t="s">
        <v>46</v>
      </c>
      <c r="C3" s="2">
        <v>33</v>
      </c>
      <c r="D3" s="2">
        <v>6</v>
      </c>
      <c r="E3" s="2" t="s">
        <v>45</v>
      </c>
      <c r="F3" s="4">
        <v>23</v>
      </c>
      <c r="G3" s="4">
        <v>4</v>
      </c>
    </row>
    <row r="4" spans="1:7" x14ac:dyDescent="0.25">
      <c r="A4">
        <f>ROW() - ROW(TLC_CONN[[#Headers],[ID]])</f>
        <v>3</v>
      </c>
      <c r="B4" s="2" t="s">
        <v>46</v>
      </c>
      <c r="C4" s="2">
        <v>33</v>
      </c>
      <c r="D4" s="2">
        <v>6</v>
      </c>
      <c r="E4" s="2" t="s">
        <v>42</v>
      </c>
      <c r="F4" s="4">
        <v>11</v>
      </c>
      <c r="G4" s="4">
        <v>8</v>
      </c>
    </row>
    <row r="5" spans="1:7" x14ac:dyDescent="0.25">
      <c r="A5">
        <f>ROW() - ROW(TLC_CONN[[#Headers],[ID]])</f>
        <v>4</v>
      </c>
      <c r="B5" s="2" t="s">
        <v>46</v>
      </c>
      <c r="C5" s="3">
        <v>33</v>
      </c>
      <c r="D5" s="3">
        <v>6</v>
      </c>
      <c r="E5" t="s">
        <v>36</v>
      </c>
      <c r="F5" s="4">
        <v>69</v>
      </c>
      <c r="G5" s="4">
        <v>-2</v>
      </c>
    </row>
    <row r="6" spans="1:7" x14ac:dyDescent="0.25">
      <c r="A6">
        <f>ROW() - ROW(TLC_CONN[[#Headers],[ID]])</f>
        <v>5</v>
      </c>
      <c r="B6" s="2" t="s">
        <v>46</v>
      </c>
      <c r="C6" s="3">
        <v>33</v>
      </c>
      <c r="D6" s="3">
        <v>6</v>
      </c>
      <c r="E6" t="s">
        <v>40</v>
      </c>
      <c r="F6" s="4">
        <v>47</v>
      </c>
      <c r="G6" s="4">
        <v>-6</v>
      </c>
    </row>
    <row r="7" spans="1:7" x14ac:dyDescent="0.25">
      <c r="A7">
        <f>ROW() - ROW(TLC_CONN[[#Headers],[ID]])</f>
        <v>6</v>
      </c>
      <c r="B7" s="2" t="s">
        <v>46</v>
      </c>
      <c r="C7" s="3">
        <v>33</v>
      </c>
      <c r="D7" s="3">
        <v>6</v>
      </c>
      <c r="E7" t="s">
        <v>47</v>
      </c>
      <c r="F7" s="4">
        <v>53</v>
      </c>
      <c r="G7" s="4">
        <v>9</v>
      </c>
    </row>
    <row r="8" spans="1:7" x14ac:dyDescent="0.25">
      <c r="A8">
        <f>ROW() - ROW(TLC_CONN[[#Headers],[ID]])</f>
        <v>7</v>
      </c>
      <c r="B8" t="s">
        <v>36</v>
      </c>
      <c r="C8">
        <v>69</v>
      </c>
      <c r="D8">
        <v>-2</v>
      </c>
      <c r="E8" t="s">
        <v>40</v>
      </c>
      <c r="F8" s="4">
        <v>47</v>
      </c>
      <c r="G8" s="4">
        <v>-6</v>
      </c>
    </row>
    <row r="9" spans="1:7" x14ac:dyDescent="0.25">
      <c r="A9">
        <f>ROW() - ROW(TLC_CONN[[#Headers],[ID]])</f>
        <v>8</v>
      </c>
      <c r="B9" s="2" t="s">
        <v>36</v>
      </c>
      <c r="C9" s="3">
        <v>69</v>
      </c>
      <c r="D9" s="3">
        <v>-2</v>
      </c>
      <c r="E9" t="s">
        <v>47</v>
      </c>
      <c r="F9" s="4">
        <v>53</v>
      </c>
      <c r="G9" s="4">
        <v>9</v>
      </c>
    </row>
    <row r="10" spans="1:7" x14ac:dyDescent="0.25">
      <c r="A10">
        <f>ROW() - ROW(TLC_CONN[[#Headers],[ID]])</f>
        <v>9</v>
      </c>
      <c r="B10" s="2" t="s">
        <v>36</v>
      </c>
      <c r="C10" s="3">
        <v>69</v>
      </c>
      <c r="D10" s="3">
        <v>-2</v>
      </c>
      <c r="E10" t="s">
        <v>56</v>
      </c>
      <c r="F10" s="4">
        <v>82</v>
      </c>
      <c r="G10" s="4">
        <v>16</v>
      </c>
    </row>
    <row r="11" spans="1:7" x14ac:dyDescent="0.25">
      <c r="A11">
        <f>ROW() - ROW(TLC_CONN[[#Headers],[ID]])</f>
        <v>10</v>
      </c>
      <c r="B11" s="2" t="s">
        <v>36</v>
      </c>
      <c r="C11" s="3">
        <v>69</v>
      </c>
      <c r="D11" s="3">
        <v>-2</v>
      </c>
      <c r="E11" t="s">
        <v>71</v>
      </c>
      <c r="F11" s="4">
        <v>97</v>
      </c>
      <c r="G11" s="4">
        <v>15</v>
      </c>
    </row>
    <row r="12" spans="1:7" x14ac:dyDescent="0.25">
      <c r="A12">
        <f>ROW() - ROW(TLC_CONN[[#Headers],[ID]])</f>
        <v>11</v>
      </c>
      <c r="B12" s="2" t="s">
        <v>36</v>
      </c>
      <c r="C12" s="3">
        <v>69</v>
      </c>
      <c r="D12" s="3">
        <v>-2</v>
      </c>
      <c r="E12" t="s">
        <v>77</v>
      </c>
      <c r="F12" s="4">
        <v>109</v>
      </c>
      <c r="G12" s="4">
        <v>35</v>
      </c>
    </row>
    <row r="13" spans="1:7" x14ac:dyDescent="0.25">
      <c r="A13">
        <f>ROW() - ROW(TLC_CONN[[#Headers],[ID]])</f>
        <v>12</v>
      </c>
      <c r="B13" s="2" t="s">
        <v>36</v>
      </c>
      <c r="C13" s="3">
        <v>69</v>
      </c>
      <c r="D13" s="3">
        <v>-2</v>
      </c>
      <c r="E13" t="s">
        <v>69</v>
      </c>
      <c r="F13" s="4">
        <v>115</v>
      </c>
      <c r="G13" s="4">
        <v>11</v>
      </c>
    </row>
    <row r="14" spans="1:7" x14ac:dyDescent="0.25">
      <c r="A14">
        <f>ROW() - ROW(TLC_CONN[[#Headers],[ID]])</f>
        <v>13</v>
      </c>
      <c r="B14" s="2" t="s">
        <v>36</v>
      </c>
      <c r="C14" s="3">
        <v>69</v>
      </c>
      <c r="D14" s="3">
        <v>-2</v>
      </c>
      <c r="E14" t="s">
        <v>34</v>
      </c>
      <c r="F14" s="4">
        <v>82</v>
      </c>
      <c r="G14" s="4">
        <v>-15</v>
      </c>
    </row>
    <row r="15" spans="1:7" x14ac:dyDescent="0.25">
      <c r="A15">
        <f>ROW() - ROW(TLC_CONN[[#Headers],[ID]])</f>
        <v>14</v>
      </c>
      <c r="B15" s="2" t="s">
        <v>36</v>
      </c>
      <c r="C15" s="3">
        <v>69</v>
      </c>
      <c r="D15" s="3">
        <v>-2</v>
      </c>
      <c r="E15" t="s">
        <v>29</v>
      </c>
      <c r="F15" s="4">
        <v>74</v>
      </c>
      <c r="G15" s="4">
        <v>-31</v>
      </c>
    </row>
    <row r="16" spans="1:7" x14ac:dyDescent="0.25">
      <c r="A16">
        <f>ROW() - ROW(TLC_CONN[[#Headers],[ID]])</f>
        <v>15</v>
      </c>
      <c r="B16" s="2" t="s">
        <v>36</v>
      </c>
      <c r="C16" s="3">
        <v>69</v>
      </c>
      <c r="D16" s="3">
        <v>-2</v>
      </c>
      <c r="E16" t="s">
        <v>14</v>
      </c>
      <c r="F16" s="4">
        <v>82</v>
      </c>
      <c r="G16" s="4">
        <v>-65</v>
      </c>
    </row>
    <row r="17" spans="1:7" x14ac:dyDescent="0.25">
      <c r="A17">
        <f>ROW() - ROW(TLC_CONN[[#Headers],[ID]])</f>
        <v>16</v>
      </c>
      <c r="B17" s="2" t="s">
        <v>36</v>
      </c>
      <c r="C17" s="3">
        <v>69</v>
      </c>
      <c r="D17" s="3">
        <v>-2</v>
      </c>
      <c r="E17" t="s">
        <v>26</v>
      </c>
      <c r="F17" s="4">
        <v>59</v>
      </c>
      <c r="G17" s="4">
        <v>-41</v>
      </c>
    </row>
    <row r="18" spans="1:7" x14ac:dyDescent="0.25">
      <c r="A18">
        <f>ROW() - ROW(TLC_CONN[[#Headers],[ID]])</f>
        <v>17</v>
      </c>
      <c r="B18" s="2" t="s">
        <v>36</v>
      </c>
      <c r="C18" s="3">
        <v>69</v>
      </c>
      <c r="D18" s="3">
        <v>-2</v>
      </c>
      <c r="E18" t="s">
        <v>31</v>
      </c>
      <c r="F18" s="4">
        <v>60</v>
      </c>
      <c r="G18" s="4">
        <v>-26</v>
      </c>
    </row>
    <row r="19" spans="1:7" x14ac:dyDescent="0.25">
      <c r="A19">
        <f>ROW() - ROW(TLC_CONN[[#Headers],[ID]])</f>
        <v>18</v>
      </c>
      <c r="B19" s="2" t="s">
        <v>47</v>
      </c>
      <c r="C19" s="3">
        <v>53</v>
      </c>
      <c r="D19" s="3">
        <v>9</v>
      </c>
      <c r="E19" t="s">
        <v>56</v>
      </c>
      <c r="F19" s="4">
        <v>82</v>
      </c>
      <c r="G19" s="4">
        <v>16</v>
      </c>
    </row>
    <row r="20" spans="1:7" x14ac:dyDescent="0.25">
      <c r="A20">
        <f>ROW() - ROW(TLC_CONN[[#Headers],[ID]])</f>
        <v>19</v>
      </c>
      <c r="B20" t="s">
        <v>56</v>
      </c>
      <c r="C20">
        <v>82</v>
      </c>
      <c r="D20">
        <v>16</v>
      </c>
      <c r="E20" t="s">
        <v>76</v>
      </c>
      <c r="F20" s="4">
        <v>91</v>
      </c>
      <c r="G20" s="4">
        <v>39</v>
      </c>
    </row>
    <row r="21" spans="1:7" x14ac:dyDescent="0.25">
      <c r="A21">
        <f>ROW() - ROW(TLC_CONN[[#Headers],[ID]])</f>
        <v>20</v>
      </c>
      <c r="B21" s="2" t="s">
        <v>71</v>
      </c>
      <c r="C21" s="3">
        <v>97</v>
      </c>
      <c r="D21" s="3">
        <v>15</v>
      </c>
      <c r="E21" t="s">
        <v>76</v>
      </c>
      <c r="F21" s="4">
        <v>91</v>
      </c>
      <c r="G21" s="4">
        <v>39</v>
      </c>
    </row>
    <row r="22" spans="1:7" x14ac:dyDescent="0.25">
      <c r="A22">
        <f>ROW() - ROW(TLC_CONN[[#Headers],[ID]])</f>
        <v>21</v>
      </c>
      <c r="B22" s="2" t="s">
        <v>76</v>
      </c>
      <c r="C22" s="3">
        <v>91</v>
      </c>
      <c r="D22" s="3">
        <v>39</v>
      </c>
      <c r="E22" t="s">
        <v>78</v>
      </c>
      <c r="F22" s="4">
        <v>104</v>
      </c>
      <c r="G22" s="4">
        <v>50</v>
      </c>
    </row>
    <row r="23" spans="1:7" x14ac:dyDescent="0.25">
      <c r="A23">
        <f>ROW() - ROW(TLC_CONN[[#Headers],[ID]])</f>
        <v>22</v>
      </c>
      <c r="B23" s="2" t="s">
        <v>77</v>
      </c>
      <c r="C23" s="2">
        <v>109</v>
      </c>
      <c r="D23" s="2">
        <v>35</v>
      </c>
      <c r="E23" s="2" t="s">
        <v>76</v>
      </c>
      <c r="F23" s="4">
        <v>91</v>
      </c>
      <c r="G23" s="4">
        <v>39</v>
      </c>
    </row>
    <row r="24" spans="1:7" x14ac:dyDescent="0.25">
      <c r="A24">
        <f>ROW() - ROW(TLC_CONN[[#Headers],[ID]])</f>
        <v>23</v>
      </c>
      <c r="B24" s="2" t="s">
        <v>77</v>
      </c>
      <c r="C24" s="3">
        <v>109</v>
      </c>
      <c r="D24" s="3">
        <v>35</v>
      </c>
      <c r="E24" t="s">
        <v>79</v>
      </c>
      <c r="F24" s="4">
        <v>125</v>
      </c>
      <c r="G24" s="4">
        <v>48</v>
      </c>
    </row>
    <row r="25" spans="1:7" x14ac:dyDescent="0.25">
      <c r="A25">
        <f>ROW() - ROW(TLC_CONN[[#Headers],[ID]])</f>
        <v>24</v>
      </c>
      <c r="B25" s="2" t="s">
        <v>77</v>
      </c>
      <c r="C25" s="3">
        <v>109</v>
      </c>
      <c r="D25" s="3">
        <v>35</v>
      </c>
      <c r="E25" t="s">
        <v>75</v>
      </c>
      <c r="F25" s="4">
        <v>120</v>
      </c>
      <c r="G25" s="4">
        <v>28</v>
      </c>
    </row>
    <row r="26" spans="1:7" x14ac:dyDescent="0.25">
      <c r="A26">
        <f>ROW() - ROW(TLC_CONN[[#Headers],[ID]])</f>
        <v>25</v>
      </c>
      <c r="B26" s="2" t="s">
        <v>77</v>
      </c>
      <c r="C26" s="3">
        <v>109</v>
      </c>
      <c r="D26" s="3">
        <v>35</v>
      </c>
      <c r="E26" t="s">
        <v>72</v>
      </c>
      <c r="F26" s="4">
        <v>110</v>
      </c>
      <c r="G26" s="4">
        <v>21</v>
      </c>
    </row>
    <row r="27" spans="1:7" x14ac:dyDescent="0.25">
      <c r="A27">
        <f>ROW() - ROW(TLC_CONN[[#Headers],[ID]])</f>
        <v>26</v>
      </c>
      <c r="B27" s="2" t="s">
        <v>78</v>
      </c>
      <c r="C27" s="3">
        <v>104</v>
      </c>
      <c r="D27" s="3">
        <v>50</v>
      </c>
      <c r="E27" t="s">
        <v>79</v>
      </c>
      <c r="F27" s="4">
        <v>125</v>
      </c>
      <c r="G27" s="4">
        <v>48</v>
      </c>
    </row>
    <row r="28" spans="1:7" x14ac:dyDescent="0.25">
      <c r="A28">
        <f>ROW() - ROW(TLC_CONN[[#Headers],[ID]])</f>
        <v>27</v>
      </c>
      <c r="B28" s="2" t="s">
        <v>69</v>
      </c>
      <c r="C28" s="3">
        <v>115</v>
      </c>
      <c r="D28" s="3">
        <v>11</v>
      </c>
      <c r="E28" t="s">
        <v>79</v>
      </c>
      <c r="F28" s="4">
        <v>125</v>
      </c>
      <c r="G28" s="4">
        <v>48</v>
      </c>
    </row>
    <row r="29" spans="1:7" x14ac:dyDescent="0.25">
      <c r="A29">
        <f>ROW() - ROW(TLC_CONN[[#Headers],[ID]])</f>
        <v>28</v>
      </c>
      <c r="B29" s="2" t="s">
        <v>69</v>
      </c>
      <c r="C29" s="3">
        <v>115</v>
      </c>
      <c r="D29" s="3">
        <v>11</v>
      </c>
      <c r="E29" t="s">
        <v>75</v>
      </c>
      <c r="F29" s="4">
        <v>120</v>
      </c>
      <c r="G29" s="4">
        <v>28</v>
      </c>
    </row>
    <row r="30" spans="1:7" x14ac:dyDescent="0.25">
      <c r="A30">
        <f>ROW() - ROW(TLC_CONN[[#Headers],[ID]])</f>
        <v>29</v>
      </c>
      <c r="B30" s="2" t="s">
        <v>69</v>
      </c>
      <c r="C30" s="2">
        <v>115</v>
      </c>
      <c r="D30" s="2">
        <v>11</v>
      </c>
      <c r="E30" s="2" t="s">
        <v>73</v>
      </c>
      <c r="F30" s="4">
        <v>130</v>
      </c>
      <c r="G30" s="4">
        <v>21</v>
      </c>
    </row>
    <row r="31" spans="1:7" x14ac:dyDescent="0.25">
      <c r="A31">
        <f>ROW() - ROW(TLC_CONN[[#Headers],[ID]])</f>
        <v>30</v>
      </c>
      <c r="B31" s="2" t="s">
        <v>69</v>
      </c>
      <c r="C31" s="3">
        <v>115</v>
      </c>
      <c r="D31" s="3">
        <v>11</v>
      </c>
      <c r="E31" t="s">
        <v>34</v>
      </c>
      <c r="F31" s="4">
        <v>82</v>
      </c>
      <c r="G31" s="4">
        <v>-15</v>
      </c>
    </row>
    <row r="32" spans="1:7" x14ac:dyDescent="0.25">
      <c r="A32">
        <f>ROW() - ROW(TLC_CONN[[#Headers],[ID]])</f>
        <v>31</v>
      </c>
      <c r="B32" s="2" t="s">
        <v>69</v>
      </c>
      <c r="C32" s="3">
        <v>115</v>
      </c>
      <c r="D32" s="3">
        <v>11</v>
      </c>
      <c r="E32" t="s">
        <v>72</v>
      </c>
      <c r="F32" s="4">
        <v>110</v>
      </c>
      <c r="G32" s="4">
        <v>21</v>
      </c>
    </row>
    <row r="33" spans="1:7" x14ac:dyDescent="0.25">
      <c r="A33">
        <f>ROW() - ROW(TLC_CONN[[#Headers],[ID]])</f>
        <v>32</v>
      </c>
      <c r="B33" s="2" t="s">
        <v>75</v>
      </c>
      <c r="C33" s="2">
        <v>120</v>
      </c>
      <c r="D33" s="2">
        <v>28</v>
      </c>
      <c r="E33" s="2" t="s">
        <v>73</v>
      </c>
      <c r="F33" s="4">
        <v>130</v>
      </c>
      <c r="G33" s="4">
        <v>21</v>
      </c>
    </row>
    <row r="34" spans="1:7" x14ac:dyDescent="0.25">
      <c r="A34">
        <f>ROW() - ROW(TLC_CONN[[#Headers],[ID]])</f>
        <v>33</v>
      </c>
      <c r="B34" s="2" t="s">
        <v>34</v>
      </c>
      <c r="C34" s="3">
        <v>82</v>
      </c>
      <c r="D34" s="3">
        <v>-15</v>
      </c>
      <c r="E34" t="s">
        <v>29</v>
      </c>
      <c r="F34" s="4">
        <v>74</v>
      </c>
      <c r="G34" s="4">
        <v>-31</v>
      </c>
    </row>
    <row r="35" spans="1:7" x14ac:dyDescent="0.25">
      <c r="A35">
        <f>ROW() - ROW(TLC_CONN[[#Headers],[ID]])</f>
        <v>34</v>
      </c>
      <c r="B35" s="2" t="s">
        <v>40</v>
      </c>
      <c r="C35" s="3">
        <v>47</v>
      </c>
      <c r="D35" s="3">
        <v>-6</v>
      </c>
      <c r="E35" t="s">
        <v>31</v>
      </c>
      <c r="F35" s="4">
        <v>60</v>
      </c>
      <c r="G35" s="4">
        <v>-26</v>
      </c>
    </row>
    <row r="36" spans="1:7" x14ac:dyDescent="0.25">
      <c r="A36">
        <f>ROW() - ROW(TLC_CONN[[#Headers],[ID]])</f>
        <v>35</v>
      </c>
      <c r="B36" s="2" t="s">
        <v>19</v>
      </c>
      <c r="C36" s="3">
        <v>69</v>
      </c>
      <c r="D36" s="3">
        <v>-53</v>
      </c>
      <c r="E36" t="s">
        <v>22</v>
      </c>
      <c r="F36" s="4">
        <v>47</v>
      </c>
      <c r="G36" s="4">
        <v>-49</v>
      </c>
    </row>
    <row r="37" spans="1:7" x14ac:dyDescent="0.25">
      <c r="A37">
        <f>ROW() - ROW(TLC_CONN[[#Headers],[ID]])</f>
        <v>36</v>
      </c>
      <c r="B37" s="2" t="s">
        <v>19</v>
      </c>
      <c r="C37" s="3">
        <v>69</v>
      </c>
      <c r="D37" s="3">
        <v>-53</v>
      </c>
      <c r="E37" t="s">
        <v>29</v>
      </c>
      <c r="F37" s="4">
        <v>74</v>
      </c>
      <c r="G37" s="4">
        <v>-31</v>
      </c>
    </row>
    <row r="38" spans="1:7" x14ac:dyDescent="0.25">
      <c r="A38">
        <f>ROW() - ROW(TLC_CONN[[#Headers],[ID]])</f>
        <v>37</v>
      </c>
      <c r="B38" s="2" t="s">
        <v>19</v>
      </c>
      <c r="C38" s="3">
        <v>69</v>
      </c>
      <c r="D38" s="3">
        <v>-53</v>
      </c>
      <c r="E38" t="s">
        <v>23</v>
      </c>
      <c r="F38" s="4">
        <v>84</v>
      </c>
      <c r="G38" s="4">
        <v>-45</v>
      </c>
    </row>
    <row r="39" spans="1:7" x14ac:dyDescent="0.25">
      <c r="A39">
        <f>ROW() - ROW(TLC_CONN[[#Headers],[ID]])</f>
        <v>38</v>
      </c>
      <c r="B39" s="2" t="s">
        <v>19</v>
      </c>
      <c r="C39" s="3">
        <v>69</v>
      </c>
      <c r="D39" s="3">
        <v>-53</v>
      </c>
      <c r="E39" t="s">
        <v>17</v>
      </c>
      <c r="F39" s="4">
        <v>62</v>
      </c>
      <c r="G39" s="4">
        <v>-64</v>
      </c>
    </row>
    <row r="40" spans="1:7" x14ac:dyDescent="0.25">
      <c r="A40">
        <f>ROW() - ROW(TLC_CONN[[#Headers],[ID]])</f>
        <v>39</v>
      </c>
      <c r="B40" s="2" t="s">
        <v>11</v>
      </c>
      <c r="C40" s="3">
        <v>49</v>
      </c>
      <c r="D40" s="3">
        <v>-70</v>
      </c>
      <c r="E40" t="s">
        <v>17</v>
      </c>
      <c r="F40" s="4">
        <v>62</v>
      </c>
      <c r="G40" s="4">
        <v>-64</v>
      </c>
    </row>
    <row r="41" spans="1:7" x14ac:dyDescent="0.25">
      <c r="A41">
        <f>ROW() - ROW(TLC_CONN[[#Headers],[ID]])</f>
        <v>40</v>
      </c>
      <c r="B41" s="2" t="s">
        <v>11</v>
      </c>
      <c r="C41" s="3">
        <v>49</v>
      </c>
      <c r="D41" s="3">
        <v>-70</v>
      </c>
      <c r="E41" t="s">
        <v>22</v>
      </c>
      <c r="F41" s="4">
        <v>47</v>
      </c>
      <c r="G41" s="4">
        <v>-49</v>
      </c>
    </row>
    <row r="42" spans="1:7" x14ac:dyDescent="0.25">
      <c r="A42">
        <f>ROW() - ROW(TLC_CONN[[#Headers],[ID]])</f>
        <v>41</v>
      </c>
      <c r="B42" s="2" t="s">
        <v>14</v>
      </c>
      <c r="C42" s="3">
        <v>82</v>
      </c>
      <c r="D42" s="3">
        <v>-65</v>
      </c>
      <c r="E42" t="s">
        <v>26</v>
      </c>
      <c r="F42" s="4">
        <v>59</v>
      </c>
      <c r="G42" s="4">
        <v>-41</v>
      </c>
    </row>
    <row r="43" spans="1:7" x14ac:dyDescent="0.25">
      <c r="A43">
        <f>ROW() - ROW(TLC_CONN[[#Headers],[ID]])</f>
        <v>42</v>
      </c>
      <c r="B43" s="2" t="s">
        <v>14</v>
      </c>
      <c r="C43" s="3">
        <v>82</v>
      </c>
      <c r="D43" s="3">
        <v>-65</v>
      </c>
      <c r="E43" t="s">
        <v>21</v>
      </c>
      <c r="F43" s="4">
        <v>91</v>
      </c>
      <c r="G43" s="4">
        <v>-57</v>
      </c>
    </row>
    <row r="44" spans="1:7" x14ac:dyDescent="0.25">
      <c r="A44">
        <f>ROW() - ROW(TLC_CONN[[#Headers],[ID]])</f>
        <v>43</v>
      </c>
      <c r="B44" s="2" t="s">
        <v>14</v>
      </c>
      <c r="C44" s="3">
        <v>82</v>
      </c>
      <c r="D44" s="3">
        <v>-65</v>
      </c>
      <c r="E44" t="s">
        <v>5</v>
      </c>
      <c r="F44" s="4">
        <v>68</v>
      </c>
      <c r="G44" s="4">
        <v>-78</v>
      </c>
    </row>
    <row r="45" spans="1:7" x14ac:dyDescent="0.25">
      <c r="A45">
        <f>ROW() - ROW(TLC_CONN[[#Headers],[ID]])</f>
        <v>44</v>
      </c>
      <c r="B45" t="s">
        <v>17</v>
      </c>
      <c r="C45">
        <v>62</v>
      </c>
      <c r="D45">
        <v>-64</v>
      </c>
      <c r="E45" t="s">
        <v>5</v>
      </c>
      <c r="F45" s="4">
        <v>68</v>
      </c>
      <c r="G45" s="4">
        <v>-78</v>
      </c>
    </row>
    <row r="46" spans="1:7" x14ac:dyDescent="0.25">
      <c r="A46">
        <f>ROW() - ROW(TLC_CONN[[#Headers],[ID]])</f>
        <v>45</v>
      </c>
      <c r="B46" s="2" t="s">
        <v>17</v>
      </c>
      <c r="C46" s="3">
        <v>62</v>
      </c>
      <c r="D46" s="3">
        <v>-64</v>
      </c>
      <c r="E46" t="s">
        <v>22</v>
      </c>
      <c r="F46" s="4">
        <v>47</v>
      </c>
      <c r="G46" s="4">
        <v>-49</v>
      </c>
    </row>
    <row r="47" spans="1:7" x14ac:dyDescent="0.25">
      <c r="A47">
        <f>ROW() - ROW(TLC_CONN[[#Headers],[ID]])</f>
        <v>46</v>
      </c>
      <c r="B47" s="2" t="s">
        <v>23</v>
      </c>
      <c r="C47" s="3">
        <v>84</v>
      </c>
      <c r="D47" s="3">
        <v>-45</v>
      </c>
      <c r="E47" t="s">
        <v>21</v>
      </c>
      <c r="F47" s="4">
        <v>91</v>
      </c>
      <c r="G47" s="4">
        <v>-57</v>
      </c>
    </row>
    <row r="48" spans="1:7" x14ac:dyDescent="0.25">
      <c r="A48" s="2">
        <f>ROW() - ROW(TLC_CONN[[#Headers],[ID]])</f>
        <v>47</v>
      </c>
      <c r="B48" s="2" t="s">
        <v>23</v>
      </c>
      <c r="C48" s="3">
        <v>84</v>
      </c>
      <c r="D48" s="3">
        <v>-45</v>
      </c>
      <c r="E48" t="s">
        <v>29</v>
      </c>
      <c r="F48" s="4">
        <v>74</v>
      </c>
      <c r="G48" s="4">
        <v>-31</v>
      </c>
    </row>
    <row r="49" spans="1:7" x14ac:dyDescent="0.25">
      <c r="A49" s="2">
        <f>ROW() - ROW(TLC_CONN[[#Headers],[ID]])</f>
        <v>48</v>
      </c>
      <c r="B49" s="2" t="s">
        <v>31</v>
      </c>
      <c r="C49" s="3">
        <v>60</v>
      </c>
      <c r="D49" s="3">
        <v>-26</v>
      </c>
      <c r="E49" t="s">
        <v>22</v>
      </c>
      <c r="F49" s="4">
        <v>47</v>
      </c>
      <c r="G49" s="4">
        <v>-49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R. Rex, MAI, GISP</dc:creator>
  <cp:lastModifiedBy>Cameron R. Rex, MAI, GISP</cp:lastModifiedBy>
  <dcterms:created xsi:type="dcterms:W3CDTF">2026-04-10T19:30:47Z</dcterms:created>
  <dcterms:modified xsi:type="dcterms:W3CDTF">2026-04-10T23:03:38Z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ee2465-0ec8-46ad-bd28-3696984a4c40_Enabled">
    <vt:lpwstr>true</vt:lpwstr>
  </property>
  <property fmtid="{D5CDD505-2E9C-101B-9397-08002B2CF9AE}" pid="3" name="MSIP_Label_42ee2465-0ec8-46ad-bd28-3696984a4c40_SetDate">
    <vt:lpwstr>2026-04-10T21:30:58Z</vt:lpwstr>
  </property>
  <property fmtid="{D5CDD505-2E9C-101B-9397-08002B2CF9AE}" pid="4" name="MSIP_Label_42ee2465-0ec8-46ad-bd28-3696984a4c40_Method">
    <vt:lpwstr>Standard</vt:lpwstr>
  </property>
  <property fmtid="{D5CDD505-2E9C-101B-9397-08002B2CF9AE}" pid="5" name="MSIP_Label_42ee2465-0ec8-46ad-bd28-3696984a4c40_Name">
    <vt:lpwstr>defa4170-0d19-0005-0004-bc88714345d2</vt:lpwstr>
  </property>
  <property fmtid="{D5CDD505-2E9C-101B-9397-08002B2CF9AE}" pid="6" name="MSIP_Label_42ee2465-0ec8-46ad-bd28-3696984a4c40_SiteId">
    <vt:lpwstr>0f1f3180-26d5-4fbe-b66d-26c7cd8d565a</vt:lpwstr>
  </property>
  <property fmtid="{D5CDD505-2E9C-101B-9397-08002B2CF9AE}" pid="7" name="MSIP_Label_42ee2465-0ec8-46ad-bd28-3696984a4c40_ActionId">
    <vt:lpwstr>b33222a8-7504-44de-b5e7-98d5cfd02926</vt:lpwstr>
  </property>
  <property fmtid="{D5CDD505-2E9C-101B-9397-08002B2CF9AE}" pid="8" name="MSIP_Label_42ee2465-0ec8-46ad-bd28-3696984a4c40_ContentBits">
    <vt:lpwstr>0</vt:lpwstr>
  </property>
  <property fmtid="{D5CDD505-2E9C-101B-9397-08002B2CF9AE}" pid="9" name="MSIP_Label_42ee2465-0ec8-46ad-bd28-3696984a4c40_Tag">
    <vt:lpwstr>10, 3, 0, 1</vt:lpwstr>
  </property>
</Properties>
</file>